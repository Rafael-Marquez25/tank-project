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n\Desktop\Impresion\Mis diceños\Tank_v3\tank-project\"/>
    </mc:Choice>
  </mc:AlternateContent>
  <xr:revisionPtr revIDLastSave="0" documentId="13_ncr:1_{25A6E362-1194-4BE0-BD43-308EF8186772}" xr6:coauthVersionLast="47" xr6:coauthVersionMax="47" xr10:uidLastSave="{00000000-0000-0000-0000-000000000000}"/>
  <bookViews>
    <workbookView xWindow="-120" yWindow="-120" windowWidth="38640" windowHeight="21240" xr2:uid="{88281C56-9C00-4F04-A70C-2897F7BD8B22}"/>
  </bookViews>
  <sheets>
    <sheet name="Sheet1" sheetId="1" r:id="rId1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C18" i="1"/>
  <c r="R37" i="1"/>
  <c r="R38" i="1"/>
  <c r="R39" i="1"/>
  <c r="J39" i="1"/>
  <c r="J38" i="1"/>
  <c r="J37" i="1"/>
  <c r="R36" i="1"/>
  <c r="R43" i="1" s="1"/>
  <c r="J36" i="1"/>
  <c r="H22" i="1"/>
  <c r="R16" i="1"/>
  <c r="J16" i="1"/>
  <c r="R12" i="1"/>
  <c r="R11" i="1"/>
  <c r="R10" i="1"/>
  <c r="R9" i="1"/>
  <c r="J10" i="1"/>
  <c r="J11" i="1"/>
  <c r="J12" i="1"/>
  <c r="J13" i="1"/>
  <c r="J9" i="1"/>
  <c r="R15" i="1" a="1"/>
  <c r="J15" i="1" a="1"/>
  <c r="R42" i="1" a="1"/>
  <c r="J42" i="1" a="1"/>
  <c r="J43" i="1" l="1"/>
  <c r="H49" i="1" s="1"/>
  <c r="R42" i="1"/>
  <c r="J42" i="1"/>
  <c r="R15" i="1"/>
  <c r="H21" i="1" s="1"/>
  <c r="J15" i="1"/>
  <c r="H48" i="1" l="1"/>
  <c r="C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<sst xmlns="http://schemas.openxmlformats.org/spreadsheetml/2006/main" count="55" uniqueCount="29">
  <si>
    <t>Electronic</t>
  </si>
  <si>
    <t>Total per piece</t>
  </si>
  <si>
    <t>Type</t>
  </si>
  <si>
    <t>Battery</t>
  </si>
  <si>
    <t>Raspberry</t>
  </si>
  <si>
    <t>Servos</t>
  </si>
  <si>
    <t>Legend</t>
  </si>
  <si>
    <t>not decided</t>
  </si>
  <si>
    <t>HULL</t>
  </si>
  <si>
    <t>Weight (g)</t>
  </si>
  <si>
    <t>Piece</t>
  </si>
  <si>
    <t>Structural</t>
  </si>
  <si>
    <t>Boddy</t>
  </si>
  <si>
    <t>Shock Absorver</t>
  </si>
  <si>
    <t>Motor Controller</t>
  </si>
  <si>
    <t>Propulsor Motor</t>
  </si>
  <si>
    <t>Sprocket</t>
  </si>
  <si>
    <t>Tensor Wheel</t>
  </si>
  <si>
    <t>Decided Total (g)</t>
  </si>
  <si>
    <t>Total (g)</t>
  </si>
  <si>
    <t>TURRET</t>
  </si>
  <si>
    <t>Servo</t>
  </si>
  <si>
    <t>Shooting System</t>
  </si>
  <si>
    <t>Stepper controller</t>
  </si>
  <si>
    <t>Stepper</t>
  </si>
  <si>
    <t>Turret</t>
  </si>
  <si>
    <t>Cover</t>
  </si>
  <si>
    <t>ALL VEHICLE</t>
  </si>
  <si>
    <t>Total + 15%(g)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</si>
</sst>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0"/>
      <color theme="6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20"/>
      <color theme="7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3" fillId="0" borderId="0" xfId="0" applyFont="1"/>
    <xf numFmtId="0" fontId="2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1" fillId="2" borderId="2" xfId="0" applyFont="1" applyFill="1" applyBorder="1"/>
    <xf numFmtId="0" fontId="2" fillId="2" borderId="3" xfId="0" applyFont="1" applyFill="1" applyBorder="1"/>
    <xf numFmtId="0" fontId="0" fillId="2" borderId="0" xfId="0" applyFill="1"/>
    <xf numFmtId="0" fontId="2" fillId="2" borderId="0" xfId="0" applyFont="1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2" borderId="10" xfId="0" applyFont="1" applyFill="1" applyBorder="1"/>
    <xf numFmtId="0" fontId="0" fillId="2" borderId="11" xfId="0" applyFill="1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2" borderId="3" xfId="0" applyFill="1" applyBorder="1"/>
    <xf numFmtId="0" fontId="0" fillId="2" borderId="12" xfId="0" applyFill="1" applyBorder="1"/>
    <xf numFmtId="0" fontId="0" fillId="2" borderId="13" xfId="0" applyFill="1" applyBorder="1"/>
    <xf numFmtId="0" fontId="4" fillId="2" borderId="1" xfId="0" applyFont="1" applyFill="1" applyBorder="1"/>
    <xf numFmtId="0" fontId="2" fillId="3" borderId="1" xfId="0" applyFont="1" applyFill="1" applyBorder="1"/>
    <xf numFmtId="0" fontId="0" fillId="3" borderId="1" xfId="0" applyFill="1" applyBorder="1"/>
    <xf numFmtId="0" fontId="7" fillId="3" borderId="1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2" fillId="3" borderId="7" xfId="0" applyFont="1" applyFill="1" applyBorder="1"/>
    <xf numFmtId="0" fontId="2" fillId="3" borderId="9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" fillId="3" borderId="14" xfId="0" applyFont="1" applyFill="1" applyBorder="1"/>
    <xf numFmtId="0" fontId="8" fillId="3" borderId="1" xfId="0" applyFont="1" applyFill="1" applyBorder="1"/>
    <xf numFmtId="0" fontId="6" fillId="0" borderId="4" xfId="0" applyFon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0" xfId="0" applyFont="1"/>
    <xf numFmtId="0" fontId="1" fillId="3" borderId="1" xfId="0" applyFont="1" applyFill="1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98781-9111-42E6-87F0-77AF88D2BD26}">
  <sheetPr codeName="Sheet1"/>
  <dimension ref="B4:U52"/>
  <sheetViews>
    <sheetView tabSelected="1" workbookViewId="0">
      <selection activeCell="E22" sqref="E22"/>
    </sheetView>
  </sheetViews>
  <sheetFormatPr defaultRowHeight="15" x14ac:dyDescent="0.25"/>
  <cols>
    <col min="2" max="2" width="22.7109375" customWidth="1"/>
    <col min="6" max="6" width="21.140625" customWidth="1"/>
    <col min="7" max="7" width="18.85546875" customWidth="1"/>
    <col min="8" max="8" width="11.28515625" customWidth="1"/>
    <col min="9" max="9" width="17" customWidth="1"/>
    <col min="10" max="10" width="14.5703125" customWidth="1"/>
    <col min="15" max="15" width="16.28515625" customWidth="1"/>
    <col min="16" max="16" width="11.7109375" customWidth="1"/>
    <col min="17" max="17" width="17.28515625" customWidth="1"/>
    <col min="18" max="18" width="17.140625" customWidth="1"/>
  </cols>
  <sheetData>
    <row r="4" spans="2:21" ht="34.5" x14ac:dyDescent="0.55000000000000004">
      <c r="B4" s="2" t="s">
        <v>6</v>
      </c>
      <c r="F4" s="37" t="s">
        <v>8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8"/>
    </row>
    <row r="5" spans="2:21" x14ac:dyDescent="0.25">
      <c r="B5" s="1" t="s">
        <v>7</v>
      </c>
      <c r="F5" s="38"/>
      <c r="U5" s="19"/>
    </row>
    <row r="6" spans="2:21" x14ac:dyDescent="0.25">
      <c r="F6" s="38"/>
      <c r="U6" s="19"/>
    </row>
    <row r="7" spans="2:21" ht="26.25" x14ac:dyDescent="0.4">
      <c r="F7" s="38"/>
      <c r="G7" s="23" t="s">
        <v>0</v>
      </c>
      <c r="O7" s="36" t="s">
        <v>11</v>
      </c>
      <c r="U7" s="19"/>
    </row>
    <row r="8" spans="2:21" x14ac:dyDescent="0.25">
      <c r="F8" s="38"/>
      <c r="G8" s="3" t="s">
        <v>2</v>
      </c>
      <c r="H8" s="7" t="s">
        <v>9</v>
      </c>
      <c r="I8" s="7" t="s">
        <v>10</v>
      </c>
      <c r="J8" s="7" t="s">
        <v>1</v>
      </c>
      <c r="O8" s="24" t="s">
        <v>2</v>
      </c>
      <c r="P8" s="24" t="s">
        <v>9</v>
      </c>
      <c r="Q8" s="24" t="s">
        <v>10</v>
      </c>
      <c r="R8" s="35" t="s">
        <v>1</v>
      </c>
      <c r="U8" s="19"/>
    </row>
    <row r="9" spans="2:21" x14ac:dyDescent="0.25">
      <c r="F9" s="38"/>
      <c r="G9" s="5" t="s">
        <v>3</v>
      </c>
      <c r="H9" s="20">
        <v>645</v>
      </c>
      <c r="I9" s="20">
        <v>1</v>
      </c>
      <c r="J9" s="12">
        <f>H9*I9</f>
        <v>645</v>
      </c>
      <c r="O9" s="25" t="s">
        <v>12</v>
      </c>
      <c r="P9" s="33">
        <v>500</v>
      </c>
      <c r="Q9" s="33">
        <v>1</v>
      </c>
      <c r="R9" s="29">
        <f>P9*Q9</f>
        <v>500</v>
      </c>
      <c r="U9" s="19"/>
    </row>
    <row r="10" spans="2:21" x14ac:dyDescent="0.25">
      <c r="F10" s="38"/>
      <c r="G10" s="5" t="s">
        <v>4</v>
      </c>
      <c r="H10" s="21">
        <v>50</v>
      </c>
      <c r="I10" s="21">
        <v>1</v>
      </c>
      <c r="J10" s="14">
        <f t="shared" ref="J10:J13" si="0">H10*I10</f>
        <v>50</v>
      </c>
      <c r="O10" s="25" t="s">
        <v>13</v>
      </c>
      <c r="P10" s="33">
        <v>3</v>
      </c>
      <c r="Q10" s="33">
        <v>10</v>
      </c>
      <c r="R10" s="29">
        <f t="shared" ref="R10:R12" si="1">P10*Q10</f>
        <v>30</v>
      </c>
      <c r="U10" s="19"/>
    </row>
    <row r="11" spans="2:21" x14ac:dyDescent="0.25">
      <c r="F11" s="38"/>
      <c r="G11" s="6" t="s">
        <v>5</v>
      </c>
      <c r="H11" s="21">
        <v>15</v>
      </c>
      <c r="I11" s="21">
        <v>10</v>
      </c>
      <c r="J11" s="14">
        <f t="shared" si="0"/>
        <v>150</v>
      </c>
      <c r="O11" s="26" t="s">
        <v>16</v>
      </c>
      <c r="P11" s="33">
        <v>13</v>
      </c>
      <c r="Q11" s="33">
        <v>2</v>
      </c>
      <c r="R11" s="29">
        <f t="shared" si="1"/>
        <v>26</v>
      </c>
      <c r="U11" s="19"/>
    </row>
    <row r="12" spans="2:21" x14ac:dyDescent="0.25">
      <c r="F12" s="38"/>
      <c r="G12" s="5" t="s">
        <v>14</v>
      </c>
      <c r="H12" s="21">
        <v>25</v>
      </c>
      <c r="I12" s="21">
        <v>2</v>
      </c>
      <c r="J12" s="14">
        <f t="shared" si="0"/>
        <v>50</v>
      </c>
      <c r="O12" s="25" t="s">
        <v>17</v>
      </c>
      <c r="P12" s="34">
        <v>38</v>
      </c>
      <c r="Q12" s="34">
        <v>2</v>
      </c>
      <c r="R12" s="32">
        <f t="shared" si="1"/>
        <v>76</v>
      </c>
      <c r="U12" s="19"/>
    </row>
    <row r="13" spans="2:21" x14ac:dyDescent="0.25">
      <c r="F13" s="38"/>
      <c r="G13" s="4" t="s">
        <v>15</v>
      </c>
      <c r="H13" s="22">
        <v>160</v>
      </c>
      <c r="I13" s="22">
        <v>2</v>
      </c>
      <c r="J13" s="14">
        <f t="shared" si="0"/>
        <v>320</v>
      </c>
      <c r="Q13" s="28"/>
      <c r="R13" s="29"/>
      <c r="U13" s="19"/>
    </row>
    <row r="14" spans="2:21" x14ac:dyDescent="0.25">
      <c r="F14" s="38"/>
      <c r="H14" s="18"/>
      <c r="I14" s="11"/>
      <c r="J14" s="12"/>
      <c r="Q14" s="28"/>
      <c r="R14" s="29"/>
      <c r="U14" s="19"/>
    </row>
    <row r="15" spans="2:21" x14ac:dyDescent="0.25">
      <c r="F15" s="38"/>
      <c r="H15" s="19"/>
      <c r="I15" s="9" t="s">
        <v>18</v>
      </c>
      <c r="J15" s="14" cm="1">
        <f t="array" ref="J15">SumarTextoNegro(G9:G13, J9:J13)</f>
        <v>1065</v>
      </c>
      <c r="Q15" s="30" t="s">
        <v>18</v>
      </c>
      <c r="R15" s="29" cm="1">
        <f t="array" ref="R15">SumarTextoNegro(O9:O13, R9:R13)</f>
        <v>632</v>
      </c>
      <c r="U15" s="19"/>
    </row>
    <row r="16" spans="2:21" ht="26.25" x14ac:dyDescent="0.4">
      <c r="B16" s="44" t="s">
        <v>27</v>
      </c>
      <c r="F16" s="38"/>
      <c r="H16" s="19"/>
      <c r="I16" s="15" t="s">
        <v>19</v>
      </c>
      <c r="J16" s="16">
        <f>SUM(J9:J13)</f>
        <v>1215</v>
      </c>
      <c r="Q16" s="31" t="s">
        <v>19</v>
      </c>
      <c r="R16" s="32">
        <f>SUM(R9:R13)</f>
        <v>632</v>
      </c>
      <c r="U16" s="19"/>
    </row>
    <row r="17" spans="2:21" x14ac:dyDescent="0.25">
      <c r="B17" s="42" t="s">
        <v>18</v>
      </c>
      <c r="C17">
        <f>SUM(H48,H21)</f>
        <v>1796</v>
      </c>
      <c r="F17" s="38"/>
      <c r="U17" s="19"/>
    </row>
    <row r="18" spans="2:21" x14ac:dyDescent="0.25">
      <c r="B18" s="42" t="s">
        <v>19</v>
      </c>
      <c r="C18">
        <f>SUM(H22,H49)</f>
        <v>2509</v>
      </c>
      <c r="F18" s="38"/>
      <c r="U18" s="19"/>
    </row>
    <row r="19" spans="2:21" x14ac:dyDescent="0.25">
      <c r="B19" s="42" t="s">
        <v>28</v>
      </c>
      <c r="C19">
        <f>C18 + C18*0.15</f>
        <v>2885.35</v>
      </c>
      <c r="F19" s="38"/>
      <c r="U19" s="19"/>
    </row>
    <row r="20" spans="2:21" x14ac:dyDescent="0.25">
      <c r="F20" s="38"/>
      <c r="U20" s="19"/>
    </row>
    <row r="21" spans="2:21" x14ac:dyDescent="0.25">
      <c r="F21" s="38"/>
      <c r="G21" s="42" t="s">
        <v>18</v>
      </c>
      <c r="H21">
        <f>SUM(R15,J15)</f>
        <v>1697</v>
      </c>
      <c r="U21" s="19"/>
    </row>
    <row r="22" spans="2:21" x14ac:dyDescent="0.25">
      <c r="F22" s="38"/>
      <c r="G22" s="42" t="s">
        <v>19</v>
      </c>
      <c r="H22">
        <f>SUM(R16,J16)</f>
        <v>1847</v>
      </c>
      <c r="U22" s="19"/>
    </row>
    <row r="23" spans="2:21" x14ac:dyDescent="0.25">
      <c r="F23" s="38"/>
      <c r="U23" s="19"/>
    </row>
    <row r="24" spans="2:21" x14ac:dyDescent="0.25">
      <c r="F24" s="38"/>
      <c r="U24" s="19"/>
    </row>
    <row r="25" spans="2:21" x14ac:dyDescent="0.25">
      <c r="F25" s="39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1"/>
    </row>
    <row r="31" spans="2:21" ht="34.5" x14ac:dyDescent="0.55000000000000004">
      <c r="F31" s="37" t="s">
        <v>20</v>
      </c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2" spans="2:21" x14ac:dyDescent="0.25">
      <c r="F32" s="38"/>
      <c r="U32" s="19"/>
    </row>
    <row r="33" spans="6:21" x14ac:dyDescent="0.25">
      <c r="F33" s="38"/>
      <c r="U33" s="19"/>
    </row>
    <row r="34" spans="6:21" ht="26.25" x14ac:dyDescent="0.4">
      <c r="F34" s="38"/>
      <c r="G34" s="23" t="s">
        <v>0</v>
      </c>
      <c r="O34" s="36" t="s">
        <v>11</v>
      </c>
      <c r="U34" s="19"/>
    </row>
    <row r="35" spans="6:21" x14ac:dyDescent="0.25">
      <c r="F35" s="38"/>
      <c r="G35" s="3" t="s">
        <v>2</v>
      </c>
      <c r="H35" s="7" t="s">
        <v>9</v>
      </c>
      <c r="I35" s="7" t="s">
        <v>10</v>
      </c>
      <c r="J35" s="7" t="s">
        <v>1</v>
      </c>
      <c r="O35" s="24" t="s">
        <v>2</v>
      </c>
      <c r="P35" s="24" t="s">
        <v>9</v>
      </c>
      <c r="Q35" s="24" t="s">
        <v>10</v>
      </c>
      <c r="R35" s="35" t="s">
        <v>1</v>
      </c>
      <c r="U35" s="19"/>
    </row>
    <row r="36" spans="6:21" x14ac:dyDescent="0.25">
      <c r="F36" s="38"/>
      <c r="G36" s="5" t="s">
        <v>21</v>
      </c>
      <c r="H36" s="20">
        <v>41</v>
      </c>
      <c r="I36" s="20">
        <v>1</v>
      </c>
      <c r="J36" s="12">
        <f>H36*I36</f>
        <v>41</v>
      </c>
      <c r="O36" s="43" t="s">
        <v>25</v>
      </c>
      <c r="P36" s="33">
        <v>282</v>
      </c>
      <c r="Q36" s="33">
        <v>1</v>
      </c>
      <c r="R36" s="29">
        <f>P36*Q36</f>
        <v>282</v>
      </c>
      <c r="U36" s="19"/>
    </row>
    <row r="37" spans="6:21" x14ac:dyDescent="0.25">
      <c r="F37" s="38"/>
      <c r="G37" s="5" t="s">
        <v>24</v>
      </c>
      <c r="H37" s="21">
        <v>33</v>
      </c>
      <c r="I37" s="21">
        <v>1</v>
      </c>
      <c r="J37" s="14">
        <f t="shared" ref="J37:J39" si="2">H37*I37</f>
        <v>33</v>
      </c>
      <c r="O37" s="43" t="s">
        <v>26</v>
      </c>
      <c r="P37" s="33">
        <v>181</v>
      </c>
      <c r="Q37" s="33">
        <v>1</v>
      </c>
      <c r="R37" s="29">
        <f t="shared" ref="R37:R39" si="3">P37*Q37</f>
        <v>181</v>
      </c>
      <c r="U37" s="19"/>
    </row>
    <row r="38" spans="6:21" x14ac:dyDescent="0.25">
      <c r="F38" s="38"/>
      <c r="G38" s="6" t="s">
        <v>22</v>
      </c>
      <c r="H38" s="21">
        <v>100</v>
      </c>
      <c r="I38" s="21">
        <v>1</v>
      </c>
      <c r="J38" s="14">
        <f t="shared" si="2"/>
        <v>100</v>
      </c>
      <c r="O38" s="26"/>
      <c r="P38" s="33"/>
      <c r="Q38" s="33"/>
      <c r="R38" s="29">
        <f t="shared" si="3"/>
        <v>0</v>
      </c>
      <c r="U38" s="19"/>
    </row>
    <row r="39" spans="6:21" x14ac:dyDescent="0.25">
      <c r="F39" s="38"/>
      <c r="G39" s="10" t="s">
        <v>23</v>
      </c>
      <c r="H39" s="13">
        <v>25</v>
      </c>
      <c r="I39" s="13">
        <v>1</v>
      </c>
      <c r="J39" s="21">
        <f t="shared" si="2"/>
        <v>25</v>
      </c>
      <c r="O39" s="25"/>
      <c r="P39" s="34"/>
      <c r="Q39" s="34"/>
      <c r="R39" s="29">
        <f t="shared" si="3"/>
        <v>0</v>
      </c>
      <c r="U39" s="19"/>
    </row>
    <row r="40" spans="6:21" x14ac:dyDescent="0.25">
      <c r="F40" s="38"/>
      <c r="G40" s="17"/>
      <c r="H40" s="17"/>
      <c r="I40" s="10"/>
      <c r="J40" s="12"/>
      <c r="Q40" s="28"/>
      <c r="R40" s="27"/>
      <c r="U40" s="19"/>
    </row>
    <row r="41" spans="6:21" x14ac:dyDescent="0.25">
      <c r="F41" s="38"/>
      <c r="H41" s="19"/>
      <c r="I41" s="8"/>
      <c r="J41" s="14"/>
      <c r="Q41" s="28"/>
      <c r="R41" s="29"/>
      <c r="U41" s="19"/>
    </row>
    <row r="42" spans="6:21" x14ac:dyDescent="0.25">
      <c r="F42" s="38"/>
      <c r="H42" s="19"/>
      <c r="I42" s="9" t="s">
        <v>18</v>
      </c>
      <c r="J42" s="14" cm="1">
        <f t="array" ref="J42">SumarTextoNegro(G36:G40, J36:J40)</f>
        <v>99</v>
      </c>
      <c r="Q42" s="30" t="s">
        <v>18</v>
      </c>
      <c r="R42" s="29" cm="1">
        <f t="array" ref="R42">SumarTextoNegro(O36:O40, R36:R40)</f>
        <v>0</v>
      </c>
      <c r="U42" s="19"/>
    </row>
    <row r="43" spans="6:21" x14ac:dyDescent="0.25">
      <c r="F43" s="38"/>
      <c r="H43" s="19"/>
      <c r="I43" s="15" t="s">
        <v>19</v>
      </c>
      <c r="J43" s="16">
        <f>SUM(J36:J40)</f>
        <v>199</v>
      </c>
      <c r="Q43" s="31" t="s">
        <v>19</v>
      </c>
      <c r="R43" s="32">
        <f>SUM(R36:R40)</f>
        <v>463</v>
      </c>
      <c r="U43" s="19"/>
    </row>
    <row r="44" spans="6:21" x14ac:dyDescent="0.25">
      <c r="F44" s="38"/>
      <c r="U44" s="19"/>
    </row>
    <row r="45" spans="6:21" x14ac:dyDescent="0.25">
      <c r="F45" s="38"/>
      <c r="U45" s="19"/>
    </row>
    <row r="46" spans="6:21" x14ac:dyDescent="0.25">
      <c r="F46" s="38"/>
      <c r="U46" s="19"/>
    </row>
    <row r="47" spans="6:21" x14ac:dyDescent="0.25">
      <c r="F47" s="38"/>
      <c r="U47" s="19"/>
    </row>
    <row r="48" spans="6:21" x14ac:dyDescent="0.25">
      <c r="F48" s="38"/>
      <c r="G48" s="42" t="s">
        <v>18</v>
      </c>
      <c r="H48">
        <f>SUM(R42,J42)</f>
        <v>99</v>
      </c>
      <c r="U48" s="19"/>
    </row>
    <row r="49" spans="6:21" x14ac:dyDescent="0.25">
      <c r="F49" s="38"/>
      <c r="G49" s="42" t="s">
        <v>19</v>
      </c>
      <c r="H49">
        <f>SUM(R43,J43)</f>
        <v>662</v>
      </c>
      <c r="U49" s="19"/>
    </row>
    <row r="50" spans="6:21" x14ac:dyDescent="0.25">
      <c r="F50" s="38"/>
      <c r="U50" s="19"/>
    </row>
    <row r="51" spans="6:21" x14ac:dyDescent="0.25">
      <c r="F51" s="38"/>
      <c r="U51" s="19"/>
    </row>
    <row r="52" spans="6:21" x14ac:dyDescent="0.25"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Antonio Márquez García</dc:creator>
  <cp:lastModifiedBy>José Antonio Márquez García</cp:lastModifiedBy>
  <dcterms:created xsi:type="dcterms:W3CDTF">2026-04-18T08:02:32Z</dcterms:created>
  <dcterms:modified xsi:type="dcterms:W3CDTF">2026-04-18T09:31:58Z</dcterms:modified>
</cp:coreProperties>
</file>